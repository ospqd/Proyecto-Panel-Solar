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7339FF2EC1FCA5E/Escritorio/SOFI/"/>
    </mc:Choice>
  </mc:AlternateContent>
  <xr:revisionPtr revIDLastSave="0" documentId="8_{4AC1B9D5-0F23-4775-8F87-45AF4495A6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OM Proyecto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</calcChain>
</file>

<file path=xl/sharedStrings.xml><?xml version="1.0" encoding="utf-8"?>
<sst xmlns="http://schemas.openxmlformats.org/spreadsheetml/2006/main" count="107" uniqueCount="92">
  <si>
    <t>Lista de Materiales (BOM) - Proyecto Electrónica de Potencia</t>
  </si>
  <si>
    <t>Catálogo / Distribuidor:</t>
  </si>
  <si>
    <t>Mouser Electronics</t>
  </si>
  <si>
    <t>Moneda:</t>
  </si>
  <si>
    <t>USD ($)</t>
  </si>
  <si>
    <t>Reference</t>
  </si>
  <si>
    <t>Qty</t>
  </si>
  <si>
    <t>Component</t>
  </si>
  <si>
    <t>Part Number</t>
  </si>
  <si>
    <t>Footprint</t>
  </si>
  <si>
    <t>Description</t>
  </si>
  <si>
    <t>Precio Unit. (USD)</t>
  </si>
  <si>
    <t>Subtotal (USD)</t>
  </si>
  <si>
    <t>U1</t>
  </si>
  <si>
    <t>Microcontrolador STM32</t>
  </si>
  <si>
    <t>STM32F103C8T6</t>
  </si>
  <si>
    <t>LQFP-48</t>
  </si>
  <si>
    <t>Control PWM y monitoreo</t>
  </si>
  <si>
    <t>U2</t>
  </si>
  <si>
    <t>Driver MOSFET</t>
  </si>
  <si>
    <t>IR2110PBF</t>
  </si>
  <si>
    <t>DIP-14</t>
  </si>
  <si>
    <t>Driver High/Low Side</t>
  </si>
  <si>
    <t>Q1</t>
  </si>
  <si>
    <t>MOSFET N-Channel</t>
  </si>
  <si>
    <t>IRFP460PBF</t>
  </si>
  <si>
    <t>TO-247-3</t>
  </si>
  <si>
    <t>MOSFET High Side</t>
  </si>
  <si>
    <t>Q2</t>
  </si>
  <si>
    <t>MOSFET Low Side</t>
  </si>
  <si>
    <t>D1</t>
  </si>
  <si>
    <t>Diodo Schottky</t>
  </si>
  <si>
    <t>STPS20H100CT</t>
  </si>
  <si>
    <t>TO-220-3</t>
  </si>
  <si>
    <t>Rectificación rápida</t>
  </si>
  <si>
    <t>D2</t>
  </si>
  <si>
    <t>Bootstrap Diode</t>
  </si>
  <si>
    <t>UF4007</t>
  </si>
  <si>
    <t>DO-41</t>
  </si>
  <si>
    <t>Diodo bootstrap</t>
  </si>
  <si>
    <t>L1</t>
  </si>
  <si>
    <t>Power Inductor</t>
  </si>
  <si>
    <t>100uH 15A</t>
  </si>
  <si>
    <t>THT</t>
  </si>
  <si>
    <t>Inductor principal</t>
  </si>
  <si>
    <t>C1-C6</t>
  </si>
  <si>
    <t>Ceramic Capacitor</t>
  </si>
  <si>
    <t>0.22uF 100V</t>
  </si>
  <si>
    <t>0805</t>
  </si>
  <si>
    <t>Filtro de entrada</t>
  </si>
  <si>
    <t>C7-C12</t>
  </si>
  <si>
    <t>Filtro de salida</t>
  </si>
  <si>
    <t>C13-C14</t>
  </si>
  <si>
    <t>100nF 100V</t>
  </si>
  <si>
    <t>Desacoplo</t>
  </si>
  <si>
    <t>C15-C16</t>
  </si>
  <si>
    <t>Electrolytic Capacitor</t>
  </si>
  <si>
    <t>100uF 63V</t>
  </si>
  <si>
    <t>Radial</t>
  </si>
  <si>
    <t>Filtro principal</t>
  </si>
  <si>
    <t>R1-R2</t>
  </si>
  <si>
    <t>Resistor</t>
  </si>
  <si>
    <t>10kΩ</t>
  </si>
  <si>
    <t>Divisor resistivo</t>
  </si>
  <si>
    <t>R3-R4</t>
  </si>
  <si>
    <t>1kΩ</t>
  </si>
  <si>
    <t>Gate resistor</t>
  </si>
  <si>
    <t>R5-R6</t>
  </si>
  <si>
    <t>Shunt Resistor</t>
  </si>
  <si>
    <t>10mΩ 5W</t>
  </si>
  <si>
    <t>2512</t>
  </si>
  <si>
    <t>Sensado de corriente</t>
  </si>
  <si>
    <t>J1</t>
  </si>
  <si>
    <t>Terminal Block</t>
  </si>
  <si>
    <t>2 Pin 15A</t>
  </si>
  <si>
    <t>Entrada panel solar</t>
  </si>
  <si>
    <t>J2</t>
  </si>
  <si>
    <t>Salida carga</t>
  </si>
  <si>
    <t>HS1-HS2</t>
  </si>
  <si>
    <t>Heatsink</t>
  </si>
  <si>
    <t>TO-247</t>
  </si>
  <si>
    <t>Mechanical</t>
  </si>
  <si>
    <t>Disipador térmico</t>
  </si>
  <si>
    <t>F1</t>
  </si>
  <si>
    <t>Fuse</t>
  </si>
  <si>
    <t>15A</t>
  </si>
  <si>
    <t>Fuse Holder</t>
  </si>
  <si>
    <t>Protección de entrada</t>
  </si>
  <si>
    <t>Costo Total Estimado (USD)</t>
  </si>
  <si>
    <t>Precio Unit. (MXN)</t>
  </si>
  <si>
    <t>Subtotal(MXN)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</si>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</sst>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0549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3" fillId="0" borderId="1" xfId="0" applyFont="1" applyBorder="1"/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0" xfId="0"/>
    <xf numFmtId="0" fontId="4" fillId="0" borderId="0" xfId="0" applyFont="1"/>
    <xf numFmtId="0" fontId="5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zoomScale="77" workbookViewId="0">
      <selection activeCell="M3" sqref="M3"/>
    </sheetView>
  </sheetViews>
  <sheetFormatPr baseColWidth="10" defaultColWidth="8.7265625" defaultRowHeight="14.5" x14ac:dyDescent="0.35"/>
  <cols>
    <col min="1" max="1" width="14.90625" customWidth="1"/>
    <col min="2" max="2" width="7.90625" customWidth="1"/>
    <col min="3" max="3" width="28" customWidth="1"/>
    <col min="4" max="4" width="22.08984375" customWidth="1"/>
    <col min="5" max="5" width="14.90625" customWidth="1"/>
    <col min="6" max="6" width="30" customWidth="1"/>
    <col min="7" max="8" width="18" customWidth="1"/>
    <col min="9" max="9" width="19.81640625" customWidth="1"/>
    <col min="10" max="10" width="20.54296875" customWidth="1"/>
  </cols>
  <sheetData>
    <row r="1" spans="1:16" ht="18.5" x14ac:dyDescent="0.45">
      <c r="A1" s="6" t="s">
        <v>0</v>
      </c>
      <c r="B1" s="7"/>
      <c r="C1" s="7"/>
      <c r="D1" s="7"/>
      <c r="E1" s="7"/>
      <c r="F1" s="7"/>
      <c r="G1" s="7"/>
      <c r="H1" s="7"/>
      <c r="I1" s="6" t="s">
        <v>91</v>
      </c>
      <c r="J1" s="7"/>
      <c r="K1" s="7"/>
      <c r="L1" s="7"/>
      <c r="M1" s="7"/>
      <c r="N1" s="7"/>
      <c r="O1" s="7"/>
      <c r="P1" s="7"/>
    </row>
    <row r="2" spans="1:16" x14ac:dyDescent="0.35">
      <c r="A2" t="s">
        <v>1</v>
      </c>
      <c r="B2" t="s">
        <v>2</v>
      </c>
      <c r="G2" t="s">
        <v>3</v>
      </c>
      <c r="H2" t="s">
        <v>4</v>
      </c>
    </row>
    <row r="4" spans="1:16" x14ac:dyDescent="0.35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9" t="s">
        <v>89</v>
      </c>
      <c r="J4" s="9" t="s">
        <v>90</v>
      </c>
    </row>
    <row r="5" spans="1:16" x14ac:dyDescent="0.35">
      <c r="A5" s="2" t="s">
        <v>13</v>
      </c>
      <c r="B5" s="2">
        <v>1</v>
      </c>
      <c r="C5" s="2" t="s">
        <v>14</v>
      </c>
      <c r="D5" s="2" t="s">
        <v>15</v>
      </c>
      <c r="E5" s="2" t="s">
        <v>16</v>
      </c>
      <c r="F5" s="2" t="s">
        <v>17</v>
      </c>
      <c r="G5" s="2">
        <v>5.5</v>
      </c>
      <c r="H5" s="2">
        <v>5.5</v>
      </c>
      <c r="I5">
        <v>95.04</v>
      </c>
      <c r="J5">
        <v>95.04</v>
      </c>
    </row>
    <row r="6" spans="1:16" x14ac:dyDescent="0.35">
      <c r="A6" s="2" t="s">
        <v>18</v>
      </c>
      <c r="B6" s="2">
        <v>1</v>
      </c>
      <c r="C6" s="2" t="s">
        <v>19</v>
      </c>
      <c r="D6" s="2" t="s">
        <v>20</v>
      </c>
      <c r="E6" s="2" t="s">
        <v>21</v>
      </c>
      <c r="F6" s="2" t="s">
        <v>22</v>
      </c>
      <c r="G6" s="2">
        <v>4.49</v>
      </c>
      <c r="H6" s="2">
        <v>4.49</v>
      </c>
      <c r="I6">
        <v>77.58</v>
      </c>
      <c r="J6">
        <v>77.58</v>
      </c>
    </row>
    <row r="7" spans="1:16" x14ac:dyDescent="0.35">
      <c r="A7" s="2" t="s">
        <v>23</v>
      </c>
      <c r="B7" s="2">
        <v>1</v>
      </c>
      <c r="C7" s="2" t="s">
        <v>24</v>
      </c>
      <c r="D7" s="2" t="s">
        <v>25</v>
      </c>
      <c r="E7" s="2" t="s">
        <v>26</v>
      </c>
      <c r="F7" s="2" t="s">
        <v>27</v>
      </c>
      <c r="G7" s="2">
        <v>8.93</v>
      </c>
      <c r="H7" s="2">
        <v>8.93</v>
      </c>
      <c r="I7">
        <v>154.31</v>
      </c>
      <c r="J7">
        <v>154.31</v>
      </c>
    </row>
    <row r="8" spans="1:16" x14ac:dyDescent="0.35">
      <c r="A8" s="2" t="s">
        <v>28</v>
      </c>
      <c r="B8" s="2">
        <v>1</v>
      </c>
      <c r="C8" s="2" t="s">
        <v>24</v>
      </c>
      <c r="D8" s="2" t="s">
        <v>25</v>
      </c>
      <c r="E8" s="2" t="s">
        <v>26</v>
      </c>
      <c r="F8" s="2" t="s">
        <v>29</v>
      </c>
      <c r="G8" s="2">
        <v>8.93</v>
      </c>
      <c r="H8" s="2">
        <v>8.93</v>
      </c>
      <c r="I8">
        <v>154.31</v>
      </c>
      <c r="J8">
        <v>154.31</v>
      </c>
    </row>
    <row r="9" spans="1:16" x14ac:dyDescent="0.35">
      <c r="A9" s="2" t="s">
        <v>30</v>
      </c>
      <c r="B9" s="2">
        <v>1</v>
      </c>
      <c r="C9" s="2" t="s">
        <v>31</v>
      </c>
      <c r="D9" s="2" t="s">
        <v>32</v>
      </c>
      <c r="E9" s="2" t="s">
        <v>33</v>
      </c>
      <c r="F9" s="2" t="s">
        <v>34</v>
      </c>
      <c r="G9" s="2">
        <v>1.85</v>
      </c>
      <c r="H9" s="2">
        <v>1.85</v>
      </c>
      <c r="I9">
        <v>31.96</v>
      </c>
      <c r="J9">
        <v>31.96</v>
      </c>
    </row>
    <row r="10" spans="1:16" x14ac:dyDescent="0.35">
      <c r="A10" s="2" t="s">
        <v>35</v>
      </c>
      <c r="B10" s="2">
        <v>1</v>
      </c>
      <c r="C10" s="2" t="s">
        <v>36</v>
      </c>
      <c r="D10" s="2" t="s">
        <v>37</v>
      </c>
      <c r="E10" s="2" t="s">
        <v>38</v>
      </c>
      <c r="F10" s="2" t="s">
        <v>39</v>
      </c>
      <c r="G10" s="2">
        <v>0.25</v>
      </c>
      <c r="H10" s="2">
        <v>0.25</v>
      </c>
      <c r="I10">
        <v>4.32</v>
      </c>
      <c r="J10">
        <v>4.32</v>
      </c>
    </row>
    <row r="11" spans="1:16" x14ac:dyDescent="0.35">
      <c r="A11" s="2" t="s">
        <v>40</v>
      </c>
      <c r="B11" s="2">
        <v>1</v>
      </c>
      <c r="C11" s="2" t="s">
        <v>41</v>
      </c>
      <c r="D11" s="2" t="s">
        <v>42</v>
      </c>
      <c r="E11" s="2" t="s">
        <v>43</v>
      </c>
      <c r="F11" s="2" t="s">
        <v>44</v>
      </c>
      <c r="G11" s="2">
        <v>4.5</v>
      </c>
      <c r="H11" s="2">
        <v>4.5</v>
      </c>
      <c r="I11">
        <v>77.760000000000005</v>
      </c>
      <c r="J11">
        <v>77.760000000000005</v>
      </c>
    </row>
    <row r="12" spans="1:16" x14ac:dyDescent="0.35">
      <c r="A12" s="2" t="s">
        <v>45</v>
      </c>
      <c r="B12" s="2">
        <v>6</v>
      </c>
      <c r="C12" s="2" t="s">
        <v>46</v>
      </c>
      <c r="D12" s="2" t="s">
        <v>47</v>
      </c>
      <c r="E12" s="2" t="s">
        <v>48</v>
      </c>
      <c r="F12" s="2" t="s">
        <v>49</v>
      </c>
      <c r="G12" s="2">
        <v>0.15</v>
      </c>
      <c r="H12" s="2">
        <v>0.9</v>
      </c>
      <c r="I12">
        <v>2.15</v>
      </c>
      <c r="J12">
        <v>15.55</v>
      </c>
    </row>
    <row r="13" spans="1:16" x14ac:dyDescent="0.35">
      <c r="A13" s="2" t="s">
        <v>50</v>
      </c>
      <c r="B13" s="2">
        <v>6</v>
      </c>
      <c r="C13" s="2" t="s">
        <v>46</v>
      </c>
      <c r="D13" s="2" t="s">
        <v>47</v>
      </c>
      <c r="E13" s="2" t="s">
        <v>48</v>
      </c>
      <c r="F13" s="2" t="s">
        <v>51</v>
      </c>
      <c r="G13" s="2">
        <v>0.15</v>
      </c>
      <c r="H13" s="2">
        <v>0.9</v>
      </c>
      <c r="I13">
        <v>2.15</v>
      </c>
      <c r="J13">
        <v>15.55</v>
      </c>
    </row>
    <row r="14" spans="1:16" x14ac:dyDescent="0.35">
      <c r="A14" s="2" t="s">
        <v>52</v>
      </c>
      <c r="B14" s="2">
        <v>2</v>
      </c>
      <c r="C14" s="2" t="s">
        <v>46</v>
      </c>
      <c r="D14" s="2" t="s">
        <v>53</v>
      </c>
      <c r="E14" s="2" t="s">
        <v>48</v>
      </c>
      <c r="F14" s="2" t="s">
        <v>54</v>
      </c>
      <c r="G14" s="2">
        <v>0.1</v>
      </c>
      <c r="H14" s="2">
        <v>0.2</v>
      </c>
      <c r="I14">
        <v>1.7</v>
      </c>
      <c r="J14">
        <v>3.4</v>
      </c>
    </row>
    <row r="15" spans="1:16" x14ac:dyDescent="0.35">
      <c r="A15" s="2" t="s">
        <v>55</v>
      </c>
      <c r="B15" s="2">
        <v>2</v>
      </c>
      <c r="C15" s="2" t="s">
        <v>56</v>
      </c>
      <c r="D15" s="2" t="s">
        <v>57</v>
      </c>
      <c r="E15" s="2" t="s">
        <v>58</v>
      </c>
      <c r="F15" s="2" t="s">
        <v>59</v>
      </c>
      <c r="G15" s="2">
        <v>0.45</v>
      </c>
      <c r="H15" s="2">
        <v>0.9</v>
      </c>
      <c r="I15">
        <v>7.77</v>
      </c>
      <c r="J15">
        <v>15.55</v>
      </c>
    </row>
    <row r="16" spans="1:16" x14ac:dyDescent="0.35">
      <c r="A16" s="2" t="s">
        <v>60</v>
      </c>
      <c r="B16" s="2">
        <v>2</v>
      </c>
      <c r="C16" s="2" t="s">
        <v>61</v>
      </c>
      <c r="D16" s="2" t="s">
        <v>62</v>
      </c>
      <c r="E16" s="2" t="s">
        <v>48</v>
      </c>
      <c r="F16" s="2" t="s">
        <v>63</v>
      </c>
      <c r="G16" s="2">
        <v>0.1</v>
      </c>
      <c r="H16" s="2">
        <v>0.2</v>
      </c>
      <c r="I16">
        <v>1.7</v>
      </c>
      <c r="J16">
        <v>3.4</v>
      </c>
    </row>
    <row r="17" spans="1:10" x14ac:dyDescent="0.35">
      <c r="A17" s="2" t="s">
        <v>64</v>
      </c>
      <c r="B17" s="2">
        <v>2</v>
      </c>
      <c r="C17" s="2" t="s">
        <v>61</v>
      </c>
      <c r="D17" s="2" t="s">
        <v>65</v>
      </c>
      <c r="E17" s="2" t="s">
        <v>48</v>
      </c>
      <c r="F17" s="2" t="s">
        <v>66</v>
      </c>
      <c r="G17" s="2">
        <v>0.1</v>
      </c>
      <c r="H17" s="2">
        <v>0.2</v>
      </c>
      <c r="I17">
        <v>1.7</v>
      </c>
      <c r="J17">
        <v>3.4</v>
      </c>
    </row>
    <row r="18" spans="1:10" x14ac:dyDescent="0.35">
      <c r="A18" s="2" t="s">
        <v>67</v>
      </c>
      <c r="B18" s="2">
        <v>2</v>
      </c>
      <c r="C18" s="2" t="s">
        <v>68</v>
      </c>
      <c r="D18" s="2" t="s">
        <v>69</v>
      </c>
      <c r="E18" s="2" t="s">
        <v>70</v>
      </c>
      <c r="F18" s="2" t="s">
        <v>71</v>
      </c>
      <c r="G18" s="2">
        <v>0.85</v>
      </c>
      <c r="H18" s="2">
        <v>1.7</v>
      </c>
      <c r="I18">
        <v>14.68</v>
      </c>
      <c r="J18">
        <v>29.37</v>
      </c>
    </row>
    <row r="19" spans="1:10" x14ac:dyDescent="0.35">
      <c r="A19" s="2" t="s">
        <v>72</v>
      </c>
      <c r="B19" s="2">
        <v>1</v>
      </c>
      <c r="C19" s="2" t="s">
        <v>73</v>
      </c>
      <c r="D19" s="2" t="s">
        <v>74</v>
      </c>
      <c r="E19" s="2" t="s">
        <v>43</v>
      </c>
      <c r="F19" s="2" t="s">
        <v>75</v>
      </c>
      <c r="G19" s="2">
        <v>0.95</v>
      </c>
      <c r="H19" s="2">
        <v>0.95</v>
      </c>
      <c r="I19">
        <v>16.41</v>
      </c>
      <c r="J19">
        <v>16.41</v>
      </c>
    </row>
    <row r="20" spans="1:10" x14ac:dyDescent="0.35">
      <c r="A20" s="2" t="s">
        <v>76</v>
      </c>
      <c r="B20" s="2">
        <v>1</v>
      </c>
      <c r="C20" s="2" t="s">
        <v>73</v>
      </c>
      <c r="D20" s="2" t="s">
        <v>74</v>
      </c>
      <c r="E20" s="2" t="s">
        <v>43</v>
      </c>
      <c r="F20" s="2" t="s">
        <v>77</v>
      </c>
      <c r="G20" s="2">
        <v>0.95</v>
      </c>
      <c r="H20" s="2">
        <v>0.95</v>
      </c>
      <c r="I20">
        <v>16.41</v>
      </c>
      <c r="J20">
        <v>16.41</v>
      </c>
    </row>
    <row r="21" spans="1:10" x14ac:dyDescent="0.35">
      <c r="A21" s="2" t="s">
        <v>78</v>
      </c>
      <c r="B21" s="2">
        <v>2</v>
      </c>
      <c r="C21" s="2" t="s">
        <v>79</v>
      </c>
      <c r="D21" s="2" t="s">
        <v>80</v>
      </c>
      <c r="E21" s="2" t="s">
        <v>81</v>
      </c>
      <c r="F21" s="2" t="s">
        <v>82</v>
      </c>
      <c r="G21" s="2">
        <v>1.5</v>
      </c>
      <c r="H21" s="2">
        <v>3</v>
      </c>
      <c r="I21">
        <v>25.92</v>
      </c>
      <c r="J21">
        <v>51.84</v>
      </c>
    </row>
    <row r="22" spans="1:10" x14ac:dyDescent="0.35">
      <c r="A22" s="2" t="s">
        <v>83</v>
      </c>
      <c r="B22" s="2">
        <v>1</v>
      </c>
      <c r="C22" s="2" t="s">
        <v>84</v>
      </c>
      <c r="D22" s="2" t="s">
        <v>85</v>
      </c>
      <c r="E22" s="2" t="s">
        <v>86</v>
      </c>
      <c r="F22" s="2" t="s">
        <v>87</v>
      </c>
      <c r="G22" s="2">
        <v>2</v>
      </c>
      <c r="H22" s="2">
        <v>2</v>
      </c>
      <c r="I22">
        <v>34.56</v>
      </c>
      <c r="J22">
        <v>34.56</v>
      </c>
    </row>
    <row r="23" spans="1:10" x14ac:dyDescent="0.35">
      <c r="A23" s="4" t="s">
        <v>88</v>
      </c>
      <c r="B23" s="5"/>
      <c r="C23" s="5"/>
      <c r="D23" s="5"/>
      <c r="E23" s="5"/>
      <c r="F23" s="5"/>
      <c r="G23" s="5"/>
      <c r="H23" s="3">
        <v>46.35</v>
      </c>
      <c r="J23" s="8">
        <f>SUM(J5:J22)</f>
        <v>800.7199999999998</v>
      </c>
    </row>
  </sheetData>
  <mergeCells count="3">
    <mergeCell ref="A23:G23"/>
    <mergeCell ref="A1:H1"/>
    <mergeCell ref="I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BOM Proyecto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Sofía Villanueva</cp:lastModifiedBy>
  <dcterms:created xsi:type="dcterms:W3CDTF">2026-05-25T17:46:50Z</dcterms:created>
  <dcterms:modified xsi:type="dcterms:W3CDTF">2026-05-25T20:19:08Z</dcterms:modified>
</cp:coreProperties>
</file>